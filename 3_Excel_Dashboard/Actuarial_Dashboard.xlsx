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Insurance_project\"/>
    </mc:Choice>
  </mc:AlternateContent>
  <xr:revisionPtr revIDLastSave="0" documentId="13_ncr:1_{A2BEB956-2003-47BA-B116-29A58A295BB0}" xr6:coauthVersionLast="47" xr6:coauthVersionMax="47" xr10:uidLastSave="{00000000-0000-0000-0000-000000000000}"/>
  <bookViews>
    <workbookView xWindow="-120" yWindow="-120" windowWidth="20730" windowHeight="11040" xr2:uid="{697C3CC7-3D97-435A-8240-4E3DBBB71708}"/>
  </bookViews>
  <sheets>
    <sheet name="Dashboard" sheetId="1" r:id="rId1"/>
    <sheet name="Rates" sheetId="2" r:id="rId2"/>
    <sheet name="Reserves" sheetId="3" r:id="rId3"/>
  </sheets>
  <definedNames>
    <definedName name="ExternalData_1" localSheetId="1" hidden="1">Rates!$A$1:$E$102</definedName>
    <definedName name="ExternalData_1" localSheetId="2" hidden="1">Reserves!$A$1:$F$7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C6" i="1"/>
  <c r="F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tc={E61637FA-7103-4B12-B541-40BD5C2F6090}</author>
  </authors>
  <commentList>
    <comment ref="B3" authorId="0" shapeId="0" xr:uid="{E61637FA-7103-4B12-B541-40BD5C2F6090}">
      <text>
        <t>[Threaded comment]
Your version of Excel allows you to read this threaded comment; however, any edits to it will get removed if the file is opened in a newer version of Excel. Learn more: https://go.microsoft.com/fwlink/?linkid=870924
Comment:
    0.0=Age 18, 1.0=Age 80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44AF7-E534-4274-BF75-2D3C14A25DE0}" keepAlive="1" name="Query - final_rate_table" description="Connection to the 'final_rate_table' query in the workbook." type="5" refreshedVersion="8" background="1" saveData="1">
    <dbPr connection="Provider=Microsoft.Mashup.OleDb.1;Data Source=$Workbook$;Location=final_rate_table;Extended Properties=&quot;&quot;" command="SELECT * FROM [final_rate_table]"/>
  </connection>
  <connection id="2" xr16:uid="{64A0460F-C49C-4449-88B6-32385F9458F3}" keepAlive="1" name="Query - final_reserves" description="Connection to the 'final_reserves' query in the workbook." type="5" refreshedVersion="8" background="1" saveData="1">
    <dbPr connection="Provider=Microsoft.Mashup.OleDb.1;Data Source=$Workbook$;Location=final_reserves;Extended Properties=&quot;&quot;" command="SELECT * FROM [final_reserves]"/>
  </connection>
</connections>
</file>

<file path=xl/sharedStrings.xml><?xml version="1.0" encoding="utf-8"?>
<sst xmlns="http://schemas.openxmlformats.org/spreadsheetml/2006/main" count="15" uniqueCount="14">
  <si>
    <t>Ins_Age</t>
  </si>
  <si>
    <t>BMI</t>
  </si>
  <si>
    <t>Medical_History_1</t>
  </si>
  <si>
    <t>Exposure</t>
  </si>
  <si>
    <t>Predicted_Freq</t>
  </si>
  <si>
    <t>Origin_Year</t>
  </si>
  <si>
    <t>Lag</t>
  </si>
  <si>
    <t>CDF</t>
  </si>
  <si>
    <t>current_paid</t>
  </si>
  <si>
    <t>Ultimate</t>
  </si>
  <si>
    <t>Reserve</t>
  </si>
  <si>
    <t>Total IBNR Reserve Required</t>
  </si>
  <si>
    <t>Predicted Death Frequency</t>
  </si>
  <si>
    <t>Customer Risk Profile(Age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</si>
</sst>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71" formatCode="0.0%"/>
    <numFmt numFmtId="176" formatCode="0.00000"/>
    <numFmt numFmtId="178" formatCode="0.0000"/>
    <numFmt numFmtId="182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178" fontId="0" fillId="0" borderId="0" xfId="0" applyNumberFormat="1" applyAlignment="1">
      <alignment horizontal="center"/>
    </xf>
    <xf numFmtId="182" fontId="0" fillId="0" borderId="1" xfId="1" applyNumberFormat="1" applyFont="1" applyBorder="1" applyAlignment="1">
      <alignment horizontal="center"/>
    </xf>
    <xf numFmtId="182" fontId="0" fillId="0" borderId="0" xfId="1" applyNumberFormat="1" applyFont="1" applyAlignment="1">
      <alignment horizontal="center"/>
    </xf>
    <xf numFmtId="171" fontId="0" fillId="0" borderId="1" xfId="2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5">
    <dxf>
      <numFmt numFmtId="182" formatCode="_(&quot;$&quot;* #,##0_);_(&quot;$&quot;* \(#,##0\);_(&quot;$&quot;* &quot;-&quot;??_);_(@_)"/>
      <alignment horizontal="center" vertical="bottom" textRotation="0" indent="0" justifyLastLine="0" shrinkToFit="0" readingOrder="0"/>
    </dxf>
    <dxf>
      <numFmt numFmtId="182" formatCode="_(&quot;$&quot;* #,##0_);_(&quot;$&quot;* \(#,##0\);_(&quot;$&quot;* &quot;-&quot;??_);_(@_)"/>
      <alignment horizontal="center" vertical="bottom" textRotation="0" indent="0" justifyLastLine="0" shrinkToFit="0" readingOrder="0"/>
    </dxf>
    <dxf>
      <numFmt numFmtId="182" formatCode="_(&quot;$&quot;* #,##0_);_(&quot;$&quot;* \(#,##0\);_(&quot;$&quot;* &quot;-&quot;??_);_(@_)"/>
      <alignment horizontal="center" vertical="bottom" textRotation="0" indent="0" justifyLastLine="0" shrinkToFit="0" readingOrder="0"/>
    </dxf>
    <dxf>
      <numFmt numFmtId="178" formatCode="0.0000"/>
      <alignment horizontal="center" vertical="bottom" textRotation="0" indent="0" justifyLastLine="0" shrinkToFit="0" readingOrder="0"/>
    </dxf>
    <dxf>
      <numFmt numFmtId="1" formatCode="0"/>
      <alignment horizontal="center" vertical="bottom" textRotation="0" indent="0" justifyLastLine="0" shrinkToFit="0" readingOrder="0"/>
    </dxf>
    <dxf>
      <numFmt numFmtId="170" formatCode="0.0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" formatCode="0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6" formatCode="0.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6" formatCode="0.00000"/>
      <alignment horizontal="center" vertical="bottom" textRotation="0" wrapText="0" indent="0" justifyLastLine="0" shrinkToFit="0" readingOrder="0"/>
    </dxf>
    <dxf>
      <numFmt numFmtId="176" formatCode="0.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IBNR Reserve Requirement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826501827458484E-2"/>
          <c:y val="0.17171296296296298"/>
          <c:w val="0.8572918291755586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Reserves!$F$1</c:f>
              <c:strCache>
                <c:ptCount val="1"/>
                <c:pt idx="0">
                  <c:v>Reserve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Reserves!$A$2:$A$7</c:f>
              <c:numCache>
                <c:formatCode>0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Reserves!$F$2:$F$7</c:f>
              <c:numCache>
                <c:formatCode>_("$"* #,##0_);_("$"* \(#,##0\);_("$"* "-"??_);_(@_)</c:formatCode>
                <c:ptCount val="6"/>
                <c:pt idx="0">
                  <c:v>0</c:v>
                </c:pt>
                <c:pt idx="1">
                  <c:v>14890047.971967876</c:v>
                </c:pt>
                <c:pt idx="2">
                  <c:v>47710551.57866469</c:v>
                </c:pt>
                <c:pt idx="3">
                  <c:v>82321765.615752846</c:v>
                </c:pt>
                <c:pt idx="4">
                  <c:v>88107351.272622794</c:v>
                </c:pt>
                <c:pt idx="5">
                  <c:v>92517352.088011876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E-45B5-9500-7DB9BD1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96203904"/>
        <c:axId val="1696203424"/>
      </c:barChart>
      <c:catAx>
        <c:axId val="169620390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03424"/>
        <c:crosses val="autoZero"/>
        <c:auto val="1"/>
        <c:lblAlgn val="ctr"/>
        <c:lblOffset val="100"/>
        <c:noMultiLvlLbl val="0"/>
      </c:catAx>
      <c:valAx>
        <c:axId val="1696203424"/>
        <c:scaling>
          <c:orientation val="minMax"/>
        </c:scaling>
        <c:delete val="0"/>
        <c:axPos val="b"/>
        <c:numFmt formatCode="&quot;$&quot;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10</xdr:col>
      <xdr:colOff>504825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82742-E385-452F-ABDF-5D7030C02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hruva.redekar@gmail.com" id="{42011970-E438-4C1C-A7C8-D549FD36101E}" userId="21a13e86a190e24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1235EB-69A9-49D0-BE95-E0DB54AB55C3}" autoFormatId="16" applyNumberFormats="0" applyBorderFormats="0" applyFontFormats="0" applyPatternFormats="0" applyAlignmentFormats="0" applyWidthHeightFormats="0">
  <queryTableRefresh nextId="6">
    <queryTableFields count="5">
      <queryTableField id="1" name="Ins_Age" tableColumnId="1"/>
      <queryTableField id="2" name="BMI" tableColumnId="2"/>
      <queryTableField id="3" name="Medical_History_1" tableColumnId="3"/>
      <queryTableField id="4" name="Exposure" tableColumnId="4"/>
      <queryTableField id="5" name="Predicted_Freq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541A538-9CCA-455E-96B4-A9E57435909B}" autoFormatId="16" applyNumberFormats="0" applyBorderFormats="0" applyFontFormats="0" applyPatternFormats="0" applyAlignmentFormats="0" applyWidthHeightFormats="0">
  <queryTableRefresh nextId="7">
    <queryTableFields count="6">
      <queryTableField id="1" name="Origin_Year" tableColumnId="1"/>
      <queryTableField id="2" name="Lag" tableColumnId="2"/>
      <queryTableField id="3" name="CDF" tableColumnId="3"/>
      <queryTableField id="4" name="current_paid" tableColumnId="4"/>
      <queryTableField id="5" name="Ultimate" tableColumnId="5"/>
      <queryTableField id="6" name="Reserv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AFBCA-D7A1-4D9C-8C07-DD83344DBB60}" name="final_rate_table" displayName="final_rate_table" ref="A1:E102" tableType="queryTable" totalsRowShown="0" headerRowDxfId="9" dataDxfId="8">
  <autoFilter ref="A1:E102" xr:uid="{A51AFBCA-D7A1-4D9C-8C07-DD83344DBB60}"/>
  <tableColumns count="5">
    <tableColumn id="1" xr3:uid="{E524F8B8-B116-4B17-B56E-2599A831B7BF}" uniqueName="1" name="Ins_Age" queryTableFieldId="1" dataDxfId="14"/>
    <tableColumn id="2" xr3:uid="{FE6A4AB1-C7BA-4DFA-9C96-172EC951A8B7}" uniqueName="2" name="BMI" queryTableFieldId="2" dataDxfId="13"/>
    <tableColumn id="3" xr3:uid="{E961EE36-0187-4592-8660-9152D0B5FEA6}" uniqueName="3" name="Medical_History_1" queryTableFieldId="3" dataDxfId="12"/>
    <tableColumn id="4" xr3:uid="{568F131C-209D-43A2-A739-1E4F81BAF022}" uniqueName="4" name="Exposure" queryTableFieldId="4" dataDxfId="11"/>
    <tableColumn id="5" xr3:uid="{A7287C2C-C46A-42FE-BE97-7C6A13DA7245}" uniqueName="5" name="Predicted_Freq" queryTableFieldId="5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1884EF-536B-41FC-9BB8-701D94BAEC35}" name="final_reserves" displayName="final_reserves" ref="A1:F7" tableType="queryTable" totalsRowShown="0" headerRowDxfId="6" dataDxfId="5">
  <autoFilter ref="A1:F7" xr:uid="{871884EF-536B-41FC-9BB8-701D94BAEC35}"/>
  <tableColumns count="6">
    <tableColumn id="1" xr3:uid="{7AB76085-2214-4810-91E7-EAC7EDB6B22A}" uniqueName="1" name="Origin_Year" queryTableFieldId="1" dataDxfId="7"/>
    <tableColumn id="2" xr3:uid="{C427CA4E-748B-4903-ADE4-146AD20F84FC}" uniqueName="2" name="Lag" queryTableFieldId="2" dataDxfId="4"/>
    <tableColumn id="3" xr3:uid="{F18AFF7F-9ECE-4351-9D65-2B9810BC2CDB}" uniqueName="3" name="CDF" queryTableFieldId="3" dataDxfId="3"/>
    <tableColumn id="4" xr3:uid="{2157699A-5538-49B4-BEEB-E92E2F58A504}" uniqueName="4" name="current_paid" queryTableFieldId="4" dataDxfId="2" dataCellStyle="Currency"/>
    <tableColumn id="5" xr3:uid="{78200E69-D235-4696-982F-E7A0FF264F33}" uniqueName="5" name="Ultimate" queryTableFieldId="5" dataDxfId="1" dataCellStyle="Currency"/>
    <tableColumn id="6" xr3:uid="{BD8A76F4-84DE-4CE1-A93A-C61D42D0520F}" uniqueName="6" name="Reserve" queryTableFieldId="6" dataDxfId="0" dataCellStyle="Currenc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2-01T13:21:54.54" personId="{42011970-E438-4C1C-A7C8-D549FD36101E}" id="{E61637FA-7103-4B12-B541-40BD5C2F6090}">
    <text>0.0=Age 18, 1.0=Age 80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92E1-F4A4-49B1-996D-8B148222D8FC}">
  <dimension ref="B3:F6"/>
  <sheetViews>
    <sheetView showGridLines="0" tabSelected="1" workbookViewId="0">
      <selection activeCell="N13" sqref="N13"/>
    </sheetView>
  </sheetViews>
  <sheetFormatPr defaultRowHeight="15" x14ac:dyDescent="0.25"/>
  <cols>
    <col min="2" max="2" width="19.7109375" customWidth="1"/>
    <col min="5" max="5" width="16" customWidth="1"/>
    <col min="6" max="6" width="16.28515625" bestFit="1" customWidth="1"/>
  </cols>
  <sheetData>
    <row r="3" spans="2:6" ht="34.5" customHeight="1" x14ac:dyDescent="0.25">
      <c r="B3" s="5" t="s">
        <v>13</v>
      </c>
      <c r="C3" s="10">
        <v>0.91</v>
      </c>
      <c r="E3" s="5" t="s">
        <v>11</v>
      </c>
      <c r="F3" s="7">
        <f>SUM(final_reserves[Reserve])</f>
        <v>325547068.5270201</v>
      </c>
    </row>
    <row r="4" spans="2:6" x14ac:dyDescent="0.25">
      <c r="B4" s="1"/>
    </row>
    <row r="5" spans="2:6" x14ac:dyDescent="0.25">
      <c r="B5" s="1"/>
    </row>
    <row r="6" spans="2:6" ht="30" x14ac:dyDescent="0.25">
      <c r="B6" s="5" t="s">
        <v>12</v>
      </c>
      <c r="C6" s="9">
        <f>VLOOKUP(C3,final_rate_table[#All],5,FALSE)</f>
        <v>0.18237416042935101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5D9B-53A1-45D6-AC3D-7551EAF659E9}">
  <dimension ref="A1:E102"/>
  <sheetViews>
    <sheetView workbookViewId="0">
      <selection activeCell="D1" sqref="D1"/>
    </sheetView>
  </sheetViews>
  <sheetFormatPr defaultRowHeight="15" x14ac:dyDescent="0.25"/>
  <cols>
    <col min="1" max="1" width="13.42578125" customWidth="1"/>
    <col min="2" max="2" width="12" bestFit="1" customWidth="1"/>
    <col min="3" max="3" width="22.28515625" customWidth="1"/>
    <col min="4" max="4" width="16.85546875" customWidth="1"/>
    <col min="5" max="5" width="20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3">
        <v>0.47135641894040903</v>
      </c>
      <c r="C2" s="3">
        <v>7.7081584128989098</v>
      </c>
      <c r="D2" s="2">
        <v>1</v>
      </c>
      <c r="E2" s="3">
        <v>2.7727556198555801E-2</v>
      </c>
    </row>
    <row r="3" spans="1:5" x14ac:dyDescent="0.25">
      <c r="A3" s="2">
        <v>0.01</v>
      </c>
      <c r="B3" s="3">
        <v>0.47135641894040903</v>
      </c>
      <c r="C3" s="3">
        <v>7.7081584128989098</v>
      </c>
      <c r="D3" s="2">
        <v>1</v>
      </c>
      <c r="E3" s="3">
        <v>2.8307477673029199E-2</v>
      </c>
    </row>
    <row r="4" spans="1:5" x14ac:dyDescent="0.25">
      <c r="A4" s="2">
        <v>0.02</v>
      </c>
      <c r="B4" s="3">
        <v>0.47135641894040903</v>
      </c>
      <c r="C4" s="3">
        <v>7.7081584128989098</v>
      </c>
      <c r="D4" s="2">
        <v>1</v>
      </c>
      <c r="E4" s="3">
        <v>2.8899528197540301E-2</v>
      </c>
    </row>
    <row r="5" spans="1:5" x14ac:dyDescent="0.25">
      <c r="A5" s="2">
        <v>0.03</v>
      </c>
      <c r="B5" s="3">
        <v>0.47135641894040903</v>
      </c>
      <c r="C5" s="3">
        <v>7.7081584128989098</v>
      </c>
      <c r="D5" s="2">
        <v>1</v>
      </c>
      <c r="E5" s="3">
        <v>2.9503961451011699E-2</v>
      </c>
    </row>
    <row r="6" spans="1:5" x14ac:dyDescent="0.25">
      <c r="A6" s="2">
        <v>0.04</v>
      </c>
      <c r="B6" s="3">
        <v>0.47135641894040903</v>
      </c>
      <c r="C6" s="3">
        <v>7.7081584128989098</v>
      </c>
      <c r="D6" s="2">
        <v>1</v>
      </c>
      <c r="E6" s="3">
        <v>3.0121036418057301E-2</v>
      </c>
    </row>
    <row r="7" spans="1:5" x14ac:dyDescent="0.25">
      <c r="A7" s="2">
        <v>0.05</v>
      </c>
      <c r="B7" s="3">
        <v>0.47135641894040903</v>
      </c>
      <c r="C7" s="3">
        <v>7.7081584128989098</v>
      </c>
      <c r="D7" s="2">
        <v>1</v>
      </c>
      <c r="E7" s="3">
        <v>3.0751017499950802E-2</v>
      </c>
    </row>
    <row r="8" spans="1:5" x14ac:dyDescent="0.25">
      <c r="A8" s="2">
        <v>0.06</v>
      </c>
      <c r="B8" s="3">
        <v>0.47135641894040903</v>
      </c>
      <c r="C8" s="3">
        <v>7.7081584128989098</v>
      </c>
      <c r="D8" s="2">
        <v>1</v>
      </c>
      <c r="E8" s="3">
        <v>3.1394174627915002E-2</v>
      </c>
    </row>
    <row r="9" spans="1:5" x14ac:dyDescent="0.25">
      <c r="A9" s="2">
        <v>7.0000000000000007E-2</v>
      </c>
      <c r="B9" s="3">
        <v>0.47135641894040903</v>
      </c>
      <c r="C9" s="3">
        <v>7.7081584128989098</v>
      </c>
      <c r="D9" s="2">
        <v>1</v>
      </c>
      <c r="E9" s="3">
        <v>3.2050783378780902E-2</v>
      </c>
    </row>
    <row r="10" spans="1:5" x14ac:dyDescent="0.25">
      <c r="A10" s="2">
        <v>0.08</v>
      </c>
      <c r="B10" s="3">
        <v>0.47135641894040903</v>
      </c>
      <c r="C10" s="3">
        <v>7.7081584128989098</v>
      </c>
      <c r="D10" s="2">
        <v>1</v>
      </c>
      <c r="E10" s="3">
        <v>3.2721125093064997E-2</v>
      </c>
    </row>
    <row r="11" spans="1:5" x14ac:dyDescent="0.25">
      <c r="A11" s="2">
        <v>0.09</v>
      </c>
      <c r="B11" s="3">
        <v>0.47135641894040903</v>
      </c>
      <c r="C11" s="3">
        <v>7.7081584128989098</v>
      </c>
      <c r="D11" s="2">
        <v>1</v>
      </c>
      <c r="E11" s="3">
        <v>3.3405486995517403E-2</v>
      </c>
    </row>
    <row r="12" spans="1:5" x14ac:dyDescent="0.25">
      <c r="A12" s="2">
        <v>0.1</v>
      </c>
      <c r="B12" s="3">
        <v>0.47135641894040903</v>
      </c>
      <c r="C12" s="3">
        <v>7.7081584128989098</v>
      </c>
      <c r="D12" s="2">
        <v>1</v>
      </c>
      <c r="E12" s="3">
        <v>3.4104162318189898E-2</v>
      </c>
    </row>
    <row r="13" spans="1:5" x14ac:dyDescent="0.25">
      <c r="A13" s="2">
        <v>0.11</v>
      </c>
      <c r="B13" s="3">
        <v>0.47135641894040903</v>
      </c>
      <c r="C13" s="3">
        <v>7.7081584128989098</v>
      </c>
      <c r="D13" s="2">
        <v>1</v>
      </c>
      <c r="E13" s="3">
        <v>3.4817450426078603E-2</v>
      </c>
    </row>
    <row r="14" spans="1:5" x14ac:dyDescent="0.25">
      <c r="A14" s="2">
        <v>0.12</v>
      </c>
      <c r="B14" s="3">
        <v>0.47135641894040903</v>
      </c>
      <c r="C14" s="3">
        <v>7.7081584128989098</v>
      </c>
      <c r="D14" s="2">
        <v>1</v>
      </c>
      <c r="E14" s="3">
        <v>3.5545656945394903E-2</v>
      </c>
    </row>
    <row r="15" spans="1:5" x14ac:dyDescent="0.25">
      <c r="A15" s="2">
        <v>0.13</v>
      </c>
      <c r="B15" s="3">
        <v>0.47135641894040903</v>
      </c>
      <c r="C15" s="3">
        <v>7.7081584128989098</v>
      </c>
      <c r="D15" s="2">
        <v>1</v>
      </c>
      <c r="E15" s="3">
        <v>3.6289093894518197E-2</v>
      </c>
    </row>
    <row r="16" spans="1:5" x14ac:dyDescent="0.25">
      <c r="A16" s="2">
        <v>0.14000000000000001</v>
      </c>
      <c r="B16" s="3">
        <v>0.47135641894040903</v>
      </c>
      <c r="C16" s="3">
        <v>7.7081584128989098</v>
      </c>
      <c r="D16" s="2">
        <v>1</v>
      </c>
      <c r="E16" s="3">
        <v>3.7048079817688401E-2</v>
      </c>
    </row>
    <row r="17" spans="1:5" x14ac:dyDescent="0.25">
      <c r="A17" s="2">
        <v>0.15</v>
      </c>
      <c r="B17" s="3">
        <v>0.47135641894040903</v>
      </c>
      <c r="C17" s="3">
        <v>7.7081584128989098</v>
      </c>
      <c r="D17" s="2">
        <v>1</v>
      </c>
      <c r="E17" s="3">
        <v>3.7822939921493798E-2</v>
      </c>
    </row>
    <row r="18" spans="1:5" x14ac:dyDescent="0.25">
      <c r="A18" s="2">
        <v>0.16</v>
      </c>
      <c r="B18" s="3">
        <v>0.47135641894040903</v>
      </c>
      <c r="C18" s="3">
        <v>7.7081584128989098</v>
      </c>
      <c r="D18" s="2">
        <v>1</v>
      </c>
      <c r="E18" s="3">
        <v>3.8614006214214298E-2</v>
      </c>
    </row>
    <row r="19" spans="1:5" x14ac:dyDescent="0.25">
      <c r="A19" s="2">
        <v>0.17</v>
      </c>
      <c r="B19" s="3">
        <v>0.47135641894040903</v>
      </c>
      <c r="C19" s="3">
        <v>7.7081584128989098</v>
      </c>
      <c r="D19" s="2">
        <v>1</v>
      </c>
      <c r="E19" s="3">
        <v>3.9421617648078798E-2</v>
      </c>
    </row>
    <row r="20" spans="1:5" x14ac:dyDescent="0.25">
      <c r="A20" s="2">
        <v>0.18</v>
      </c>
      <c r="B20" s="3">
        <v>0.47135641894040903</v>
      </c>
      <c r="C20" s="3">
        <v>7.7081584128989098</v>
      </c>
      <c r="D20" s="2">
        <v>1</v>
      </c>
      <c r="E20" s="3">
        <v>4.0246120264497399E-2</v>
      </c>
    </row>
    <row r="21" spans="1:5" x14ac:dyDescent="0.25">
      <c r="A21" s="2">
        <v>0.19</v>
      </c>
      <c r="B21" s="3">
        <v>0.47135641894040903</v>
      </c>
      <c r="C21" s="3">
        <v>7.7081584128989098</v>
      </c>
      <c r="D21" s="2">
        <v>1</v>
      </c>
      <c r="E21" s="3">
        <v>4.1087867342331698E-2</v>
      </c>
    </row>
    <row r="22" spans="1:5" x14ac:dyDescent="0.25">
      <c r="A22" s="2">
        <v>0.2</v>
      </c>
      <c r="B22" s="3">
        <v>0.47135641894040903</v>
      </c>
      <c r="C22" s="3">
        <v>7.7081584128989098</v>
      </c>
      <c r="D22" s="2">
        <v>1</v>
      </c>
      <c r="E22" s="3">
        <v>4.1947219549266397E-2</v>
      </c>
    </row>
    <row r="23" spans="1:5" x14ac:dyDescent="0.25">
      <c r="A23" s="2">
        <v>0.21</v>
      </c>
      <c r="B23" s="3">
        <v>0.47135641894040903</v>
      </c>
      <c r="C23" s="3">
        <v>7.7081584128989098</v>
      </c>
      <c r="D23" s="2">
        <v>1</v>
      </c>
      <c r="E23" s="3">
        <v>4.2824545096345701E-2</v>
      </c>
    </row>
    <row r="24" spans="1:5" x14ac:dyDescent="0.25">
      <c r="A24" s="2">
        <v>0.22</v>
      </c>
      <c r="B24" s="3">
        <v>0.47135641894040903</v>
      </c>
      <c r="C24" s="3">
        <v>7.7081584128989098</v>
      </c>
      <c r="D24" s="2">
        <v>1</v>
      </c>
      <c r="E24" s="3">
        <v>4.3720219895743297E-2</v>
      </c>
    </row>
    <row r="25" spans="1:5" x14ac:dyDescent="0.25">
      <c r="A25" s="2">
        <v>0.23</v>
      </c>
      <c r="B25" s="3">
        <v>0.47135641894040903</v>
      </c>
      <c r="C25" s="3">
        <v>7.7081584128989098</v>
      </c>
      <c r="D25" s="2">
        <v>1</v>
      </c>
      <c r="E25" s="3">
        <v>4.4634627721830897E-2</v>
      </c>
    </row>
    <row r="26" spans="1:5" x14ac:dyDescent="0.25">
      <c r="A26" s="2">
        <v>0.24</v>
      </c>
      <c r="B26" s="3">
        <v>0.47135641894040903</v>
      </c>
      <c r="C26" s="3">
        <v>7.7081584128989098</v>
      </c>
      <c r="D26" s="2">
        <v>1</v>
      </c>
      <c r="E26" s="3">
        <v>4.5568160375616097E-2</v>
      </c>
    </row>
    <row r="27" spans="1:5" x14ac:dyDescent="0.25">
      <c r="A27" s="2">
        <v>0.25</v>
      </c>
      <c r="B27" s="3">
        <v>0.47135641894040903</v>
      </c>
      <c r="C27" s="3">
        <v>7.7081584128989098</v>
      </c>
      <c r="D27" s="2">
        <v>1</v>
      </c>
      <c r="E27" s="3">
        <v>4.6521217852619597E-2</v>
      </c>
    </row>
    <row r="28" spans="1:5" x14ac:dyDescent="0.25">
      <c r="A28" s="2">
        <v>0.26</v>
      </c>
      <c r="B28" s="3">
        <v>0.47135641894040903</v>
      </c>
      <c r="C28" s="3">
        <v>7.7081584128989098</v>
      </c>
      <c r="D28" s="2">
        <v>1</v>
      </c>
      <c r="E28" s="3">
        <v>4.74942085142631E-2</v>
      </c>
    </row>
    <row r="29" spans="1:5" x14ac:dyDescent="0.25">
      <c r="A29" s="2">
        <v>0.27</v>
      </c>
      <c r="B29" s="3">
        <v>0.47135641894040903</v>
      </c>
      <c r="C29" s="3">
        <v>7.7081584128989098</v>
      </c>
      <c r="D29" s="2">
        <v>1</v>
      </c>
      <c r="E29" s="3">
        <v>4.84875492628421E-2</v>
      </c>
    </row>
    <row r="30" spans="1:5" x14ac:dyDescent="0.25">
      <c r="A30" s="2">
        <v>0.28000000000000003</v>
      </c>
      <c r="B30" s="3">
        <v>0.47135641894040903</v>
      </c>
      <c r="C30" s="3">
        <v>7.7081584128989098</v>
      </c>
      <c r="D30" s="2">
        <v>1</v>
      </c>
      <c r="E30" s="3">
        <v>4.9501665720158197E-2</v>
      </c>
    </row>
    <row r="31" spans="1:5" x14ac:dyDescent="0.25">
      <c r="A31" s="2">
        <v>0.28999999999999998</v>
      </c>
      <c r="B31" s="3">
        <v>0.47135641894040903</v>
      </c>
      <c r="C31" s="3">
        <v>7.7081584128989098</v>
      </c>
      <c r="D31" s="2">
        <v>1</v>
      </c>
      <c r="E31" s="3">
        <v>5.0536992409887099E-2</v>
      </c>
    </row>
    <row r="32" spans="1:5" x14ac:dyDescent="0.25">
      <c r="A32" s="2">
        <v>0.3</v>
      </c>
      <c r="B32" s="3">
        <v>0.47135641894040903</v>
      </c>
      <c r="C32" s="3">
        <v>7.7081584128989098</v>
      </c>
      <c r="D32" s="2">
        <v>1</v>
      </c>
      <c r="E32" s="3">
        <v>5.1593972943762001E-2</v>
      </c>
    </row>
    <row r="33" spans="1:5" x14ac:dyDescent="0.25">
      <c r="A33" s="2">
        <v>0.31</v>
      </c>
      <c r="B33" s="3">
        <v>0.47135641894040903</v>
      </c>
      <c r="C33" s="3">
        <v>7.7081584128989098</v>
      </c>
      <c r="D33" s="2">
        <v>1</v>
      </c>
      <c r="E33" s="3">
        <v>5.2673060211649199E-2</v>
      </c>
    </row>
    <row r="34" spans="1:5" x14ac:dyDescent="0.25">
      <c r="A34" s="2">
        <v>0.32</v>
      </c>
      <c r="B34" s="3">
        <v>0.47135641894040903</v>
      </c>
      <c r="C34" s="3">
        <v>7.7081584128989098</v>
      </c>
      <c r="D34" s="2">
        <v>1</v>
      </c>
      <c r="E34" s="3">
        <v>5.37747165756009E-2</v>
      </c>
    </row>
    <row r="35" spans="1:5" x14ac:dyDescent="0.25">
      <c r="A35" s="2">
        <v>0.33</v>
      </c>
      <c r="B35" s="3">
        <v>0.47135641894040903</v>
      </c>
      <c r="C35" s="3">
        <v>7.7081584128989098</v>
      </c>
      <c r="D35" s="2">
        <v>1</v>
      </c>
      <c r="E35" s="3">
        <v>5.4899414067965398E-2</v>
      </c>
    </row>
    <row r="36" spans="1:5" x14ac:dyDescent="0.25">
      <c r="A36" s="2">
        <v>0.34</v>
      </c>
      <c r="B36" s="3">
        <v>0.47135641894040903</v>
      </c>
      <c r="C36" s="3">
        <v>7.7081584128989098</v>
      </c>
      <c r="D36" s="2">
        <v>1</v>
      </c>
      <c r="E36" s="3">
        <v>5.60476345936416E-2</v>
      </c>
    </row>
    <row r="37" spans="1:5" x14ac:dyDescent="0.25">
      <c r="A37" s="2">
        <v>0.35</v>
      </c>
      <c r="B37" s="3">
        <v>0.47135641894040903</v>
      </c>
      <c r="C37" s="3">
        <v>7.7081584128989098</v>
      </c>
      <c r="D37" s="2">
        <v>1</v>
      </c>
      <c r="E37" s="3">
        <v>5.7219870136562899E-2</v>
      </c>
    </row>
    <row r="38" spans="1:5" x14ac:dyDescent="0.25">
      <c r="A38" s="2">
        <v>0.36</v>
      </c>
      <c r="B38" s="3">
        <v>0.47135641894040903</v>
      </c>
      <c r="C38" s="3">
        <v>7.7081584128989098</v>
      </c>
      <c r="D38" s="2">
        <v>1</v>
      </c>
      <c r="E38" s="3">
        <v>5.8416622970500001E-2</v>
      </c>
    </row>
    <row r="39" spans="1:5" x14ac:dyDescent="0.25">
      <c r="A39" s="2">
        <v>0.37</v>
      </c>
      <c r="B39" s="3">
        <v>0.47135641894040903</v>
      </c>
      <c r="C39" s="3">
        <v>7.7081584128989098</v>
      </c>
      <c r="D39" s="2">
        <v>1</v>
      </c>
      <c r="E39" s="3">
        <v>5.9638405874273402E-2</v>
      </c>
    </row>
    <row r="40" spans="1:5" x14ac:dyDescent="0.25">
      <c r="A40" s="2">
        <v>0.38</v>
      </c>
      <c r="B40" s="3">
        <v>0.47135641894040903</v>
      </c>
      <c r="C40" s="3">
        <v>7.7081584128989098</v>
      </c>
      <c r="D40" s="2">
        <v>1</v>
      </c>
      <c r="E40" s="3">
        <v>6.0885742351465502E-2</v>
      </c>
    </row>
    <row r="41" spans="1:5" x14ac:dyDescent="0.25">
      <c r="A41" s="2">
        <v>0.39</v>
      </c>
      <c r="B41" s="3">
        <v>0.47135641894040903</v>
      </c>
      <c r="C41" s="3">
        <v>7.7081584128989098</v>
      </c>
      <c r="D41" s="2">
        <v>1</v>
      </c>
      <c r="E41" s="3">
        <v>6.2159166854729497E-2</v>
      </c>
    </row>
    <row r="42" spans="1:5" x14ac:dyDescent="0.25">
      <c r="A42" s="2">
        <v>0.4</v>
      </c>
      <c r="B42" s="3">
        <v>0.47135641894040903</v>
      </c>
      <c r="C42" s="3">
        <v>7.7081584128989098</v>
      </c>
      <c r="D42" s="2">
        <v>1</v>
      </c>
      <c r="E42" s="3">
        <v>6.3459225014788803E-2</v>
      </c>
    </row>
    <row r="43" spans="1:5" x14ac:dyDescent="0.25">
      <c r="A43" s="2">
        <v>0.41</v>
      </c>
      <c r="B43" s="3">
        <v>0.47135641894040903</v>
      </c>
      <c r="C43" s="3">
        <v>7.7081584128989098</v>
      </c>
      <c r="D43" s="2">
        <v>1</v>
      </c>
      <c r="E43" s="3">
        <v>6.4786473874226105E-2</v>
      </c>
    </row>
    <row r="44" spans="1:5" x14ac:dyDescent="0.25">
      <c r="A44" s="2">
        <v>0.42</v>
      </c>
      <c r="B44" s="3">
        <v>0.47135641894040903</v>
      </c>
      <c r="C44" s="3">
        <v>7.7081584128989098</v>
      </c>
      <c r="D44" s="2">
        <v>1</v>
      </c>
      <c r="E44" s="3">
        <v>6.6141482126162596E-2</v>
      </c>
    </row>
    <row r="45" spans="1:5" x14ac:dyDescent="0.25">
      <c r="A45" s="2">
        <v>0.43</v>
      </c>
      <c r="B45" s="3">
        <v>0.47135641894040903</v>
      </c>
      <c r="C45" s="3">
        <v>7.7081584128989098</v>
      </c>
      <c r="D45" s="2">
        <v>1</v>
      </c>
      <c r="E45" s="3">
        <v>6.75248303579285E-2</v>
      </c>
    </row>
    <row r="46" spans="1:5" x14ac:dyDescent="0.25">
      <c r="A46" s="2">
        <v>0.44</v>
      </c>
      <c r="B46" s="3">
        <v>0.47135641894040903</v>
      </c>
      <c r="C46" s="3">
        <v>7.7081584128989098</v>
      </c>
      <c r="D46" s="2">
        <v>1</v>
      </c>
      <c r="E46" s="3">
        <v>6.8937111299830503E-2</v>
      </c>
    </row>
    <row r="47" spans="1:5" x14ac:dyDescent="0.25">
      <c r="A47" s="2">
        <v>0.45</v>
      </c>
      <c r="B47" s="3">
        <v>0.47135641894040903</v>
      </c>
      <c r="C47" s="3">
        <v>7.7081584128989098</v>
      </c>
      <c r="D47" s="2">
        <v>1</v>
      </c>
      <c r="E47" s="3">
        <v>7.0378930079122007E-2</v>
      </c>
    </row>
    <row r="48" spans="1:5" x14ac:dyDescent="0.25">
      <c r="A48" s="2">
        <v>0.46</v>
      </c>
      <c r="B48" s="3">
        <v>0.47135641894040903</v>
      </c>
      <c r="C48" s="3">
        <v>7.7081584128989098</v>
      </c>
      <c r="D48" s="2">
        <v>1</v>
      </c>
      <c r="E48" s="3">
        <v>7.1850904479284702E-2</v>
      </c>
    </row>
    <row r="49" spans="1:5" x14ac:dyDescent="0.25">
      <c r="A49" s="2">
        <v>0.47</v>
      </c>
      <c r="B49" s="3">
        <v>0.47135641894040903</v>
      </c>
      <c r="C49" s="3">
        <v>7.7081584128989098</v>
      </c>
      <c r="D49" s="2">
        <v>1</v>
      </c>
      <c r="E49" s="3">
        <v>7.3353665204734006E-2</v>
      </c>
    </row>
    <row r="50" spans="1:5" x14ac:dyDescent="0.25">
      <c r="A50" s="2">
        <v>0.48</v>
      </c>
      <c r="B50" s="3">
        <v>0.47135641894040903</v>
      </c>
      <c r="C50" s="3">
        <v>7.7081584128989098</v>
      </c>
      <c r="D50" s="2">
        <v>1</v>
      </c>
      <c r="E50" s="3">
        <v>7.4887856151059598E-2</v>
      </c>
    </row>
    <row r="51" spans="1:5" x14ac:dyDescent="0.25">
      <c r="A51" s="2">
        <v>0.49</v>
      </c>
      <c r="B51" s="3">
        <v>0.47135641894040903</v>
      </c>
      <c r="C51" s="3">
        <v>7.7081584128989098</v>
      </c>
      <c r="D51" s="2">
        <v>1</v>
      </c>
      <c r="E51" s="3">
        <v>7.64541346809193E-2</v>
      </c>
    </row>
    <row r="52" spans="1:5" x14ac:dyDescent="0.25">
      <c r="A52" s="2">
        <v>0.5</v>
      </c>
      <c r="B52" s="3">
        <v>0.47135641894040903</v>
      </c>
      <c r="C52" s="3">
        <v>7.7081584128989098</v>
      </c>
      <c r="D52" s="2">
        <v>1</v>
      </c>
      <c r="E52" s="3">
        <v>7.8053171905702101E-2</v>
      </c>
    </row>
    <row r="53" spans="1:5" x14ac:dyDescent="0.25">
      <c r="A53" s="2">
        <v>0.51</v>
      </c>
      <c r="B53" s="3">
        <v>0.47135641894040903</v>
      </c>
      <c r="C53" s="3">
        <v>7.7081584128989098</v>
      </c>
      <c r="D53" s="2">
        <v>1</v>
      </c>
      <c r="E53" s="3">
        <v>7.9685652973083096E-2</v>
      </c>
    </row>
    <row r="54" spans="1:5" x14ac:dyDescent="0.25">
      <c r="A54" s="2">
        <v>0.52</v>
      </c>
      <c r="B54" s="3">
        <v>0.47135641894040903</v>
      </c>
      <c r="C54" s="3">
        <v>7.7081584128989098</v>
      </c>
      <c r="D54" s="2">
        <v>1</v>
      </c>
      <c r="E54" s="3">
        <v>8.1352277360591696E-2</v>
      </c>
    </row>
    <row r="55" spans="1:5" x14ac:dyDescent="0.25">
      <c r="A55" s="2">
        <v>0.53</v>
      </c>
      <c r="B55" s="3">
        <v>0.47135641894040903</v>
      </c>
      <c r="C55" s="3">
        <v>7.7081584128989098</v>
      </c>
      <c r="D55" s="2">
        <v>1</v>
      </c>
      <c r="E55" s="3">
        <v>8.3053759175320901E-2</v>
      </c>
    </row>
    <row r="56" spans="1:5" x14ac:dyDescent="0.25">
      <c r="A56" s="2">
        <v>0.54</v>
      </c>
      <c r="B56" s="3">
        <v>0.47135641894040903</v>
      </c>
      <c r="C56" s="3">
        <v>7.7081584128989098</v>
      </c>
      <c r="D56" s="2">
        <v>1</v>
      </c>
      <c r="E56" s="3">
        <v>8.4790827459904197E-2</v>
      </c>
    </row>
    <row r="57" spans="1:5" x14ac:dyDescent="0.25">
      <c r="A57" s="2">
        <v>0.55000000000000004</v>
      </c>
      <c r="B57" s="3">
        <v>0.47135641894040903</v>
      </c>
      <c r="C57" s="3">
        <v>7.7081584128989098</v>
      </c>
      <c r="D57" s="2">
        <v>1</v>
      </c>
      <c r="E57" s="3">
        <v>8.6564226504892205E-2</v>
      </c>
    </row>
    <row r="58" spans="1:5" x14ac:dyDescent="0.25">
      <c r="A58" s="2">
        <v>0.56000000000000005</v>
      </c>
      <c r="B58" s="3">
        <v>0.47135641894040903</v>
      </c>
      <c r="C58" s="3">
        <v>7.7081584128989098</v>
      </c>
      <c r="D58" s="2">
        <v>1</v>
      </c>
      <c r="E58" s="3">
        <v>8.8374716167662598E-2</v>
      </c>
    </row>
    <row r="59" spans="1:5" x14ac:dyDescent="0.25">
      <c r="A59" s="2">
        <v>0.56999999999999995</v>
      </c>
      <c r="B59" s="3">
        <v>0.47135641894040903</v>
      </c>
      <c r="C59" s="3">
        <v>7.7081584128989098</v>
      </c>
      <c r="D59" s="2">
        <v>1</v>
      </c>
      <c r="E59" s="3">
        <v>9.0223072198000007E-2</v>
      </c>
    </row>
    <row r="60" spans="1:5" x14ac:dyDescent="0.25">
      <c r="A60" s="2">
        <v>0.57999999999999996</v>
      </c>
      <c r="B60" s="3">
        <v>0.47135641894040903</v>
      </c>
      <c r="C60" s="3">
        <v>7.7081584128989098</v>
      </c>
      <c r="D60" s="2">
        <v>1</v>
      </c>
      <c r="E60" s="3">
        <v>9.2110086570485999E-2</v>
      </c>
    </row>
    <row r="61" spans="1:5" x14ac:dyDescent="0.25">
      <c r="A61" s="2">
        <v>0.59</v>
      </c>
      <c r="B61" s="3">
        <v>0.47135641894040903</v>
      </c>
      <c r="C61" s="3">
        <v>7.7081584128989098</v>
      </c>
      <c r="D61" s="2">
        <v>1</v>
      </c>
      <c r="E61" s="3">
        <v>9.4036567823839706E-2</v>
      </c>
    </row>
    <row r="62" spans="1:5" x14ac:dyDescent="0.25">
      <c r="A62" s="2">
        <v>0.6</v>
      </c>
      <c r="B62" s="3">
        <v>0.47135641894040903</v>
      </c>
      <c r="C62" s="3">
        <v>7.7081584128989098</v>
      </c>
      <c r="D62" s="2">
        <v>1</v>
      </c>
      <c r="E62" s="3">
        <v>9.6003341407357501E-2</v>
      </c>
    </row>
    <row r="63" spans="1:5" x14ac:dyDescent="0.25">
      <c r="A63" s="2">
        <v>0.61</v>
      </c>
      <c r="B63" s="3">
        <v>0.47135641894040903</v>
      </c>
      <c r="C63" s="3">
        <v>7.7081584128989098</v>
      </c>
      <c r="D63" s="2">
        <v>1</v>
      </c>
      <c r="E63" s="3">
        <v>9.8011250034596306E-2</v>
      </c>
    </row>
    <row r="64" spans="1:5" x14ac:dyDescent="0.25">
      <c r="A64" s="2">
        <v>0.62</v>
      </c>
      <c r="B64" s="3">
        <v>0.47135641894040903</v>
      </c>
      <c r="C64" s="3">
        <v>7.7081584128989098</v>
      </c>
      <c r="D64" s="2">
        <v>1</v>
      </c>
      <c r="E64" s="3">
        <v>0.10006115404445701</v>
      </c>
    </row>
    <row r="65" spans="1:5" x14ac:dyDescent="0.25">
      <c r="A65" s="2">
        <v>0.63</v>
      </c>
      <c r="B65" s="3">
        <v>0.47135641894040903</v>
      </c>
      <c r="C65" s="3">
        <v>7.7081584128989098</v>
      </c>
      <c r="D65" s="2">
        <v>1</v>
      </c>
      <c r="E65" s="3">
        <v>0.10215393176981601</v>
      </c>
    </row>
    <row r="66" spans="1:5" x14ac:dyDescent="0.25">
      <c r="A66" s="2">
        <v>0.64</v>
      </c>
      <c r="B66" s="3">
        <v>0.47135641894040903</v>
      </c>
      <c r="C66" s="3">
        <v>7.7081584128989098</v>
      </c>
      <c r="D66" s="2">
        <v>1</v>
      </c>
      <c r="E66" s="3">
        <v>0.104290479913871</v>
      </c>
    </row>
    <row r="67" spans="1:5" x14ac:dyDescent="0.25">
      <c r="A67" s="2">
        <v>0.65</v>
      </c>
      <c r="B67" s="3">
        <v>0.47135641894040903</v>
      </c>
      <c r="C67" s="3">
        <v>7.7081584128989098</v>
      </c>
      <c r="D67" s="2">
        <v>1</v>
      </c>
      <c r="E67" s="3">
        <v>0.10647171393435501</v>
      </c>
    </row>
    <row r="68" spans="1:5" x14ac:dyDescent="0.25">
      <c r="A68" s="2">
        <v>0.66</v>
      </c>
      <c r="B68" s="3">
        <v>0.47135641894040903</v>
      </c>
      <c r="C68" s="3">
        <v>7.7081584128989098</v>
      </c>
      <c r="D68" s="2">
        <v>1</v>
      </c>
      <c r="E68" s="3">
        <v>0.10869856843579</v>
      </c>
    </row>
    <row r="69" spans="1:5" x14ac:dyDescent="0.25">
      <c r="A69" s="2">
        <v>0.67</v>
      </c>
      <c r="B69" s="3">
        <v>0.47135641894040903</v>
      </c>
      <c r="C69" s="3">
        <v>7.7081584128989098</v>
      </c>
      <c r="D69" s="2">
        <v>1</v>
      </c>
      <c r="E69" s="3">
        <v>0.110971997569935</v>
      </c>
    </row>
    <row r="70" spans="1:5" x14ac:dyDescent="0.25">
      <c r="A70" s="2">
        <v>0.68</v>
      </c>
      <c r="B70" s="3">
        <v>0.47135641894040903</v>
      </c>
      <c r="C70" s="3">
        <v>7.7081584128989098</v>
      </c>
      <c r="D70" s="2">
        <v>1</v>
      </c>
      <c r="E70" s="3">
        <v>0.113292975444623</v>
      </c>
    </row>
    <row r="71" spans="1:5" x14ac:dyDescent="0.25">
      <c r="A71" s="2">
        <v>0.69</v>
      </c>
      <c r="B71" s="3">
        <v>0.47135641894040903</v>
      </c>
      <c r="C71" s="3">
        <v>7.7081584128989098</v>
      </c>
      <c r="D71" s="2">
        <v>1</v>
      </c>
      <c r="E71" s="3">
        <v>0.115662496541139</v>
      </c>
    </row>
    <row r="72" spans="1:5" x14ac:dyDescent="0.25">
      <c r="A72" s="2">
        <v>0.7</v>
      </c>
      <c r="B72" s="3">
        <v>0.47135641894040903</v>
      </c>
      <c r="C72" s="3">
        <v>7.7081584128989098</v>
      </c>
      <c r="D72" s="2">
        <v>1</v>
      </c>
      <c r="E72" s="3">
        <v>0.118081576140333</v>
      </c>
    </row>
    <row r="73" spans="1:5" x14ac:dyDescent="0.25">
      <c r="A73" s="2">
        <v>0.71</v>
      </c>
      <c r="B73" s="3">
        <v>0.47135641894040903</v>
      </c>
      <c r="C73" s="3">
        <v>7.7081584128989098</v>
      </c>
      <c r="D73" s="2">
        <v>1</v>
      </c>
      <c r="E73" s="3">
        <v>0.12055125075763699</v>
      </c>
    </row>
    <row r="74" spans="1:5" x14ac:dyDescent="0.25">
      <c r="A74" s="2">
        <v>0.72</v>
      </c>
      <c r="B74" s="3">
        <v>0.47135641894040903</v>
      </c>
      <c r="C74" s="3">
        <v>7.7081584128989098</v>
      </c>
      <c r="D74" s="2">
        <v>1</v>
      </c>
      <c r="E74" s="3">
        <v>0.12307257858719201</v>
      </c>
    </row>
    <row r="75" spans="1:5" x14ac:dyDescent="0.25">
      <c r="A75" s="2">
        <v>0.73</v>
      </c>
      <c r="B75" s="3">
        <v>0.47135641894040903</v>
      </c>
      <c r="C75" s="3">
        <v>7.7081584128989098</v>
      </c>
      <c r="D75" s="2">
        <v>1</v>
      </c>
      <c r="E75" s="3">
        <v>0.12564663995525699</v>
      </c>
    </row>
    <row r="76" spans="1:5" x14ac:dyDescent="0.25">
      <c r="A76" s="2">
        <v>0.74</v>
      </c>
      <c r="B76" s="3">
        <v>0.47135641894040903</v>
      </c>
      <c r="C76" s="3">
        <v>7.7081584128989098</v>
      </c>
      <c r="D76" s="2">
        <v>1</v>
      </c>
      <c r="E76" s="3">
        <v>0.128274537783096</v>
      </c>
    </row>
    <row r="77" spans="1:5" x14ac:dyDescent="0.25">
      <c r="A77" s="2">
        <v>0.75</v>
      </c>
      <c r="B77" s="3">
        <v>0.47135641894040903</v>
      </c>
      <c r="C77" s="3">
        <v>7.7081584128989098</v>
      </c>
      <c r="D77" s="2">
        <v>1</v>
      </c>
      <c r="E77" s="3">
        <v>0.130957398059562</v>
      </c>
    </row>
    <row r="78" spans="1:5" x14ac:dyDescent="0.25">
      <c r="A78" s="2">
        <v>0.76</v>
      </c>
      <c r="B78" s="3">
        <v>0.47135641894040903</v>
      </c>
      <c r="C78" s="3">
        <v>7.7081584128989098</v>
      </c>
      <c r="D78" s="2">
        <v>1</v>
      </c>
      <c r="E78" s="3">
        <v>0.133696370323546</v>
      </c>
    </row>
    <row r="79" spans="1:5" x14ac:dyDescent="0.25">
      <c r="A79" s="2">
        <v>0.77</v>
      </c>
      <c r="B79" s="3">
        <v>0.47135641894040903</v>
      </c>
      <c r="C79" s="3">
        <v>7.7081584128989098</v>
      </c>
      <c r="D79" s="2">
        <v>1</v>
      </c>
      <c r="E79" s="3">
        <v>0.13649262815653199</v>
      </c>
    </row>
    <row r="80" spans="1:5" x14ac:dyDescent="0.25">
      <c r="A80" s="2">
        <v>0.78</v>
      </c>
      <c r="B80" s="3">
        <v>0.47135641894040903</v>
      </c>
      <c r="C80" s="3">
        <v>7.7081584128989098</v>
      </c>
      <c r="D80" s="2">
        <v>1</v>
      </c>
      <c r="E80" s="3">
        <v>0.13934736968544501</v>
      </c>
    </row>
    <row r="81" spans="1:5" x14ac:dyDescent="0.25">
      <c r="A81" s="2">
        <v>0.79</v>
      </c>
      <c r="B81" s="3">
        <v>0.47135641894040903</v>
      </c>
      <c r="C81" s="3">
        <v>7.7081584128989098</v>
      </c>
      <c r="D81" s="2">
        <v>1</v>
      </c>
      <c r="E81" s="3">
        <v>0.14226181809601901</v>
      </c>
    </row>
    <row r="82" spans="1:5" x14ac:dyDescent="0.25">
      <c r="A82" s="2">
        <v>0.8</v>
      </c>
      <c r="B82" s="3">
        <v>0.47135641894040903</v>
      </c>
      <c r="C82" s="3">
        <v>7.7081584128989098</v>
      </c>
      <c r="D82" s="2">
        <v>1</v>
      </c>
      <c r="E82" s="3">
        <v>0.14523722215690099</v>
      </c>
    </row>
    <row r="83" spans="1:5" x14ac:dyDescent="0.25">
      <c r="A83" s="2">
        <v>0.81</v>
      </c>
      <c r="B83" s="3">
        <v>0.47135641894040903</v>
      </c>
      <c r="C83" s="3">
        <v>7.7081584128989098</v>
      </c>
      <c r="D83" s="2">
        <v>1</v>
      </c>
      <c r="E83" s="3">
        <v>0.14827485675471799</v>
      </c>
    </row>
    <row r="84" spans="1:5" x14ac:dyDescent="0.25">
      <c r="A84" s="2">
        <v>0.82</v>
      </c>
      <c r="B84" s="3">
        <v>0.47135641894040903</v>
      </c>
      <c r="C84" s="3">
        <v>7.7081584128989098</v>
      </c>
      <c r="D84" s="2">
        <v>1</v>
      </c>
      <c r="E84" s="3">
        <v>0.15137602344033499</v>
      </c>
    </row>
    <row r="85" spans="1:5" x14ac:dyDescent="0.25">
      <c r="A85" s="2">
        <v>0.83</v>
      </c>
      <c r="B85" s="3">
        <v>0.47135641894040903</v>
      </c>
      <c r="C85" s="3">
        <v>7.7081584128989098</v>
      </c>
      <c r="D85" s="2">
        <v>1</v>
      </c>
      <c r="E85" s="3">
        <v>0.15454205098653501</v>
      </c>
    </row>
    <row r="86" spans="1:5" x14ac:dyDescent="0.25">
      <c r="A86" s="2">
        <v>0.84</v>
      </c>
      <c r="B86" s="3">
        <v>0.47135641894040903</v>
      </c>
      <c r="C86" s="3">
        <v>7.7081584128989098</v>
      </c>
      <c r="D86" s="2">
        <v>1</v>
      </c>
      <c r="E86" s="3">
        <v>0.157774295957368</v>
      </c>
    </row>
    <row r="87" spans="1:5" x14ac:dyDescent="0.25">
      <c r="A87" s="2">
        <v>0.85</v>
      </c>
      <c r="B87" s="3">
        <v>0.47135641894040903</v>
      </c>
      <c r="C87" s="3">
        <v>7.7081584128989098</v>
      </c>
      <c r="D87" s="2">
        <v>1</v>
      </c>
      <c r="E87" s="3">
        <v>0.16107414328940101</v>
      </c>
    </row>
    <row r="88" spans="1:5" x14ac:dyDescent="0.25">
      <c r="A88" s="2">
        <v>0.86</v>
      </c>
      <c r="B88" s="3">
        <v>0.47135641894040903</v>
      </c>
      <c r="C88" s="3">
        <v>7.7081584128989098</v>
      </c>
      <c r="D88" s="2">
        <v>1</v>
      </c>
      <c r="E88" s="3">
        <v>0.164443006885133</v>
      </c>
    </row>
    <row r="89" spans="1:5" x14ac:dyDescent="0.25">
      <c r="A89" s="2">
        <v>0.87</v>
      </c>
      <c r="B89" s="3">
        <v>0.47135641894040903</v>
      </c>
      <c r="C89" s="3">
        <v>7.7081584128989098</v>
      </c>
      <c r="D89" s="2">
        <v>1</v>
      </c>
      <c r="E89" s="3">
        <v>0.16788233021881499</v>
      </c>
    </row>
    <row r="90" spans="1:5" x14ac:dyDescent="0.25">
      <c r="A90" s="2">
        <v>0.88</v>
      </c>
      <c r="B90" s="3">
        <v>0.47135641894040903</v>
      </c>
      <c r="C90" s="3">
        <v>7.7081584128989098</v>
      </c>
      <c r="D90" s="2">
        <v>1</v>
      </c>
      <c r="E90" s="3">
        <v>0.171393586954943</v>
      </c>
    </row>
    <row r="91" spans="1:5" x14ac:dyDescent="0.25">
      <c r="A91" s="2">
        <v>0.89</v>
      </c>
      <c r="B91" s="3">
        <v>0.47135641894040903</v>
      </c>
      <c r="C91" s="3">
        <v>7.7081584128989098</v>
      </c>
      <c r="D91" s="2">
        <v>1</v>
      </c>
      <c r="E91" s="3">
        <v>0.17497828157968501</v>
      </c>
    </row>
    <row r="92" spans="1:5" x14ac:dyDescent="0.25">
      <c r="A92" s="2">
        <v>0.9</v>
      </c>
      <c r="B92" s="3">
        <v>0.47135641894040903</v>
      </c>
      <c r="C92" s="3">
        <v>7.7081584128989098</v>
      </c>
      <c r="D92" s="2">
        <v>1</v>
      </c>
      <c r="E92" s="3">
        <v>0.17863795004551999</v>
      </c>
    </row>
    <row r="93" spans="1:5" x14ac:dyDescent="0.25">
      <c r="A93" s="2">
        <v>0.91</v>
      </c>
      <c r="B93" s="3">
        <v>0.47135641894040903</v>
      </c>
      <c r="C93" s="3">
        <v>7.7081584128989098</v>
      </c>
      <c r="D93" s="2">
        <v>1</v>
      </c>
      <c r="E93" s="3">
        <v>0.18237416042935101</v>
      </c>
    </row>
    <row r="94" spans="1:5" x14ac:dyDescent="0.25">
      <c r="A94" s="2">
        <v>0.92</v>
      </c>
      <c r="B94" s="3">
        <v>0.47135641894040903</v>
      </c>
      <c r="C94" s="3">
        <v>7.7081584128989098</v>
      </c>
      <c r="D94" s="2">
        <v>1</v>
      </c>
      <c r="E94" s="3">
        <v>0.18618851360439001</v>
      </c>
    </row>
    <row r="95" spans="1:5" x14ac:dyDescent="0.25">
      <c r="A95" s="2">
        <v>0.93</v>
      </c>
      <c r="B95" s="3">
        <v>0.47135641894040903</v>
      </c>
      <c r="C95" s="3">
        <v>7.7081584128989098</v>
      </c>
      <c r="D95" s="2">
        <v>1</v>
      </c>
      <c r="E95" s="3">
        <v>0.19008264392609101</v>
      </c>
    </row>
    <row r="96" spans="1:5" x14ac:dyDescent="0.25">
      <c r="A96" s="2">
        <v>0.94</v>
      </c>
      <c r="B96" s="3">
        <v>0.47135641894040903</v>
      </c>
      <c r="C96" s="3">
        <v>7.7081584128989098</v>
      </c>
      <c r="D96" s="2">
        <v>1</v>
      </c>
      <c r="E96" s="3">
        <v>0.194058219932432</v>
      </c>
    </row>
    <row r="97" spans="1:5" x14ac:dyDescent="0.25">
      <c r="A97" s="2">
        <v>0.95</v>
      </c>
      <c r="B97" s="3">
        <v>0.47135641894040903</v>
      </c>
      <c r="C97" s="3">
        <v>7.7081584128989098</v>
      </c>
      <c r="D97" s="2">
        <v>1</v>
      </c>
      <c r="E97" s="3">
        <v>0.19811694505883701</v>
      </c>
    </row>
    <row r="98" spans="1:5" x14ac:dyDescent="0.25">
      <c r="A98" s="2">
        <v>0.96</v>
      </c>
      <c r="B98" s="3">
        <v>0.47135641894040903</v>
      </c>
      <c r="C98" s="3">
        <v>7.7081584128989098</v>
      </c>
      <c r="D98" s="2">
        <v>1</v>
      </c>
      <c r="E98" s="3">
        <v>0.202260558368065</v>
      </c>
    </row>
    <row r="99" spans="1:5" x14ac:dyDescent="0.25">
      <c r="A99" s="2">
        <v>0.97</v>
      </c>
      <c r="B99" s="3">
        <v>0.47135641894040903</v>
      </c>
      <c r="C99" s="3">
        <v>7.7081584128989098</v>
      </c>
      <c r="D99" s="2">
        <v>1</v>
      </c>
      <c r="E99" s="3">
        <v>0.20649083529534601</v>
      </c>
    </row>
    <row r="100" spans="1:5" x14ac:dyDescent="0.25">
      <c r="A100" s="2">
        <v>0.98</v>
      </c>
      <c r="B100" s="3">
        <v>0.47135641894040903</v>
      </c>
      <c r="C100" s="3">
        <v>7.7081584128989098</v>
      </c>
      <c r="D100" s="2">
        <v>1</v>
      </c>
      <c r="E100" s="3">
        <v>0.21080958840911501</v>
      </c>
    </row>
    <row r="101" spans="1:5" x14ac:dyDescent="0.25">
      <c r="A101" s="2">
        <v>0.99</v>
      </c>
      <c r="B101" s="3">
        <v>0.47135641894040903</v>
      </c>
      <c r="C101" s="3">
        <v>7.7081584128989098</v>
      </c>
      <c r="D101" s="2">
        <v>1</v>
      </c>
      <c r="E101" s="3">
        <v>0.21521866818765401</v>
      </c>
    </row>
    <row r="102" spans="1:5" x14ac:dyDescent="0.25">
      <c r="A102" s="2">
        <v>1</v>
      </c>
      <c r="B102" s="3">
        <v>0.47135641894040903</v>
      </c>
      <c r="C102" s="3">
        <v>7.7081584128989098</v>
      </c>
      <c r="D102" s="2">
        <v>1</v>
      </c>
      <c r="E102" s="3">
        <v>0.21971996381197201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EFBA-17B2-4EE3-AAD8-DBA28D54851E}">
  <dimension ref="A1:F9"/>
  <sheetViews>
    <sheetView workbookViewId="0">
      <selection activeCell="F12" sqref="F12"/>
    </sheetView>
  </sheetViews>
  <sheetFormatPr defaultRowHeight="15" x14ac:dyDescent="0.25"/>
  <cols>
    <col min="1" max="1" width="19.28515625" style="2" customWidth="1"/>
    <col min="2" max="2" width="11.28515625" style="2" customWidth="1"/>
    <col min="3" max="3" width="14.140625" style="2" customWidth="1"/>
    <col min="4" max="4" width="21.28515625" style="2" customWidth="1"/>
    <col min="5" max="5" width="19.28515625" style="2" customWidth="1"/>
    <col min="6" max="6" width="19.7109375" style="2" customWidth="1"/>
    <col min="7" max="16384" width="9.140625" style="2"/>
  </cols>
  <sheetData>
    <row r="1" spans="1:6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25">
      <c r="A2" s="4">
        <v>2010</v>
      </c>
      <c r="B2" s="4">
        <v>5</v>
      </c>
      <c r="C2" s="6">
        <v>1</v>
      </c>
      <c r="D2" s="8">
        <v>151667789</v>
      </c>
      <c r="E2" s="8">
        <v>151667789</v>
      </c>
      <c r="F2" s="8">
        <v>0</v>
      </c>
    </row>
    <row r="3" spans="1:6" x14ac:dyDescent="0.25">
      <c r="A3" s="4">
        <v>2011</v>
      </c>
      <c r="B3" s="4">
        <v>4</v>
      </c>
      <c r="C3" s="6">
        <v>1.121355932870058</v>
      </c>
      <c r="D3" s="8">
        <v>122697322</v>
      </c>
      <c r="E3" s="8">
        <v>137587369.97196788</v>
      </c>
      <c r="F3" s="8">
        <v>14890047.971967876</v>
      </c>
    </row>
    <row r="4" spans="1:6" x14ac:dyDescent="0.25">
      <c r="A4" s="4">
        <v>2012</v>
      </c>
      <c r="B4" s="4">
        <v>3</v>
      </c>
      <c r="C4" s="6">
        <v>1.439647204647065</v>
      </c>
      <c r="D4" s="8">
        <v>108520084</v>
      </c>
      <c r="E4" s="8">
        <v>156230635.57866469</v>
      </c>
      <c r="F4" s="8">
        <v>47710551.57866469</v>
      </c>
    </row>
    <row r="5" spans="1:6" x14ac:dyDescent="0.25">
      <c r="A5" s="4">
        <v>2013</v>
      </c>
      <c r="B5" s="4">
        <v>2</v>
      </c>
      <c r="C5" s="6">
        <v>2.0533673920246449</v>
      </c>
      <c r="D5" s="8">
        <v>78151048</v>
      </c>
      <c r="E5" s="8">
        <v>160472813.61575285</v>
      </c>
      <c r="F5" s="8">
        <v>82321765.615752846</v>
      </c>
    </row>
    <row r="6" spans="1:6" x14ac:dyDescent="0.25">
      <c r="A6" s="4">
        <v>2014</v>
      </c>
      <c r="B6" s="4">
        <v>1</v>
      </c>
      <c r="C6" s="6">
        <v>3.4262386883339735</v>
      </c>
      <c r="D6" s="8">
        <v>36314379</v>
      </c>
      <c r="E6" s="8">
        <v>124421730.27262279</v>
      </c>
      <c r="F6" s="8">
        <v>88107351.272622794</v>
      </c>
    </row>
    <row r="7" spans="1:6" x14ac:dyDescent="0.25">
      <c r="A7" s="4">
        <v>2015</v>
      </c>
      <c r="B7" s="4">
        <v>0</v>
      </c>
      <c r="C7" s="6">
        <v>10.556446322368433</v>
      </c>
      <c r="D7" s="8">
        <v>9681146</v>
      </c>
      <c r="E7" s="8">
        <v>102198498.08801188</v>
      </c>
      <c r="F7" s="8">
        <v>92517352.088011876</v>
      </c>
    </row>
    <row r="9" spans="1:6" ht="30" x14ac:dyDescent="0.25">
      <c r="E9" s="5" t="s">
        <v>11</v>
      </c>
      <c r="F9" s="7">
        <f>SUM(final_reserves[Reserve])</f>
        <v>325547068.5270201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93F0DB-47CD-4688-A49E-F630C50EF0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Rates</vt:lpstr>
      <vt:lpstr>Reserves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dhruva.redekar@gmail.com</dc:creator>
  <cp:lastModifiedBy>dhruva.redekar@gmail.com</cp:lastModifiedBy>
  <dcterms:created xsi:type="dcterms:W3CDTF">2025-12-01T12:32:39Z</dcterms:created>
  <dcterms:modified xsi:type="dcterms:W3CDTF">2025-12-01T15:21:52Z</dcterms:modified>
</cp:coreProperties>
</file>